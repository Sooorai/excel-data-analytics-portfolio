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82b558430b3d80/留学関係/Data-analysis-assictant/"/>
    </mc:Choice>
  </mc:AlternateContent>
  <xr:revisionPtr revIDLastSave="0" documentId="8_{CCFF69A7-8C95-40B0-A2B2-55EB36BAF56A}" xr6:coauthVersionLast="47" xr6:coauthVersionMax="47" xr10:uidLastSave="{00000000-0000-0000-0000-000000000000}"/>
  <bookViews>
    <workbookView xWindow="380" yWindow="380" windowWidth="14310" windowHeight="8080" xr2:uid="{0E5FE015-CFE6-4ABB-9470-CD29FADF7997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B5" i="1"/>
  <c r="E3" i="1"/>
  <c r="B3" i="1"/>
</calcChain>
</file>

<file path=xl/sharedStrings.xml><?xml version="1.0" encoding="utf-8"?>
<sst xmlns="http://schemas.openxmlformats.org/spreadsheetml/2006/main" count="5" uniqueCount="5">
  <si>
    <t>Store Performance Dashboard (UK)</t>
  </si>
  <si>
    <t>Total Clicks</t>
  </si>
  <si>
    <t>Avg CTR</t>
  </si>
  <si>
    <t>Total Reviews</t>
  </si>
  <si>
    <t>Avg Review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</si>
</sst>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1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Clicks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Store 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2025 Jan</c:v>
              </c:pt>
              <c:pt idx="1">
                <c:v>2025 Feb</c:v>
              </c:pt>
            </c:strLit>
          </c:cat>
          <c:val>
            <c:numLit>
              <c:formatCode>General</c:formatCode>
              <c:ptCount val="2"/>
              <c:pt idx="0">
                <c:v>481</c:v>
              </c:pt>
              <c:pt idx="1">
                <c:v>680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2C3-49E6-BCFD-E50F3AD40BF8}"/>
            </c:ext>
          </c:extLst>
        </c:ser>
        <c:ser>
          <c:idx val="1"/>
          <c:order val="1"/>
          <c:tx>
            <c:v>Store 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2025 Jan</c:v>
              </c:pt>
              <c:pt idx="1">
                <c:v>2025 Feb</c:v>
              </c:pt>
            </c:strLit>
          </c:cat>
          <c:val>
            <c:numLit>
              <c:formatCode>General</c:formatCode>
              <c:ptCount val="2"/>
              <c:pt idx="0">
                <c:v>525</c:v>
              </c:pt>
              <c:pt idx="1">
                <c:v>530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2C3-49E6-BCFD-E50F3AD40BF8}"/>
            </c:ext>
          </c:extLst>
        </c:ser>
        <c:ser>
          <c:idx val="2"/>
          <c:order val="2"/>
          <c:tx>
            <c:v>Store 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2025 Jan</c:v>
              </c:pt>
              <c:pt idx="1">
                <c:v>2025 Feb</c:v>
              </c:pt>
            </c:strLit>
          </c:cat>
          <c:val>
            <c:numLit>
              <c:formatCode>General</c:formatCode>
              <c:ptCount val="2"/>
              <c:pt idx="0">
                <c:v>275</c:v>
              </c:pt>
              <c:pt idx="1">
                <c:v>370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E2C3-49E6-BCFD-E50F3AD40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453263"/>
        <c:axId val="543454703"/>
      </c:lineChart>
      <c:catAx>
        <c:axId val="54345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454703"/>
        <c:crosses val="autoZero"/>
        <c:auto val="1"/>
        <c:lblAlgn val="ctr"/>
        <c:lblOffset val="100"/>
        <c:noMultiLvlLbl val="0"/>
      </c:catAx>
      <c:valAx>
        <c:axId val="5434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45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Average CTR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2025 Jan</c:v>
              </c:pt>
              <c:pt idx="1">
                <c:v>2025 Feb</c:v>
              </c:pt>
            </c:strLit>
          </c:cat>
          <c:val>
            <c:numLit>
              <c:formatCode>General</c:formatCode>
              <c:ptCount val="2"/>
              <c:pt idx="0">
                <c:v>7.7825304925353625E-2</c:v>
              </c:pt>
              <c:pt idx="1">
                <c:v>8.3125782176592347E-2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4A4-4089-B2F5-CFBD4A86A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357599"/>
        <c:axId val="367351839"/>
      </c:lineChart>
      <c:catAx>
        <c:axId val="36735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351839"/>
        <c:crosses val="autoZero"/>
        <c:auto val="1"/>
        <c:lblAlgn val="ctr"/>
        <c:lblOffset val="100"/>
        <c:noMultiLvlLbl val="0"/>
      </c:catAx>
      <c:valAx>
        <c:axId val="36735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35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7</xdr:col>
      <xdr:colOff>0</xdr:colOff>
      <xdr:row>21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9EE07-DB71-4AF0-A714-DC9913455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12700</xdr:rowOff>
    </xdr:from>
    <xdr:to>
      <xdr:col>7</xdr:col>
      <xdr:colOff>6350</xdr:colOff>
      <xdr:row>38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5072B5-CBE1-4CBD-B4F9-744A84970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e82b558430b3d80/&#30041;&#23398;&#38306;&#20418;/Data-analysis-assictant/Excel_Portfolio_MEO_Analysis_LOCAL.xlsx" TargetMode="External"/><Relationship Id="rId1" Type="http://schemas.openxmlformats.org/officeDocument/2006/relationships/externalLinkPath" Target="Excel_Portfolio_MEO_Analysis_LO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Clicks"/>
      <sheetName val="CTR"/>
      <sheetName val="raw_data"/>
    </sheetNames>
    <sheetDataSet>
      <sheetData sheetId="0"/>
      <sheetData sheetId="1"/>
      <sheetData sheetId="2"/>
      <sheetData sheetId="3">
        <row r="1">
          <cell r="E1" t="str">
            <v>Clicks</v>
          </cell>
          <cell r="F1" t="str">
            <v>Reviews</v>
          </cell>
          <cell r="H1" t="str">
            <v>CTR</v>
          </cell>
          <cell r="I1" t="str">
            <v>Review Rate</v>
          </cell>
        </row>
        <row r="2">
          <cell r="E2">
            <v>96</v>
          </cell>
          <cell r="F2">
            <v>12</v>
          </cell>
          <cell r="H2">
            <v>0.08</v>
          </cell>
          <cell r="I2">
            <v>0.125</v>
          </cell>
        </row>
        <row r="3">
          <cell r="E3">
            <v>110</v>
          </cell>
          <cell r="F3">
            <v>15</v>
          </cell>
          <cell r="H3">
            <v>8.1481481481481488E-2</v>
          </cell>
          <cell r="I3">
            <v>0.13636363636363635</v>
          </cell>
        </row>
        <row r="4">
          <cell r="E4">
            <v>130</v>
          </cell>
          <cell r="F4">
            <v>18</v>
          </cell>
          <cell r="H4">
            <v>9.154929577464789E-2</v>
          </cell>
          <cell r="I4">
            <v>0.13846153846153847</v>
          </cell>
        </row>
        <row r="5">
          <cell r="E5">
            <v>145</v>
          </cell>
          <cell r="F5">
            <v>20</v>
          </cell>
          <cell r="H5">
            <v>9.6666666666666665E-2</v>
          </cell>
          <cell r="I5">
            <v>0.13793103448275862</v>
          </cell>
        </row>
        <row r="6">
          <cell r="E6">
            <v>140</v>
          </cell>
          <cell r="F6">
            <v>10</v>
          </cell>
          <cell r="H6">
            <v>7.7777777777777779E-2</v>
          </cell>
          <cell r="I6">
            <v>7.1428571428571425E-2</v>
          </cell>
        </row>
        <row r="7">
          <cell r="E7">
            <v>135</v>
          </cell>
          <cell r="F7">
            <v>12</v>
          </cell>
          <cell r="H7">
            <v>7.7142857142857138E-2</v>
          </cell>
          <cell r="I7">
            <v>8.8888888888888892E-2</v>
          </cell>
        </row>
        <row r="8">
          <cell r="E8">
            <v>120</v>
          </cell>
          <cell r="F8">
            <v>14</v>
          </cell>
          <cell r="H8">
            <v>7.4999999999999997E-2</v>
          </cell>
          <cell r="I8">
            <v>0.11666666666666667</v>
          </cell>
        </row>
        <row r="9">
          <cell r="E9">
            <v>130</v>
          </cell>
          <cell r="F9">
            <v>15</v>
          </cell>
          <cell r="H9">
            <v>7.6470588235294124E-2</v>
          </cell>
          <cell r="I9">
            <v>0.11538461538461539</v>
          </cell>
        </row>
        <row r="10">
          <cell r="E10">
            <v>60</v>
          </cell>
          <cell r="F10">
            <v>18</v>
          </cell>
          <cell r="H10">
            <v>6.6666666666666666E-2</v>
          </cell>
          <cell r="I10">
            <v>0.3</v>
          </cell>
        </row>
        <row r="11">
          <cell r="E11">
            <v>65</v>
          </cell>
          <cell r="F11">
            <v>20</v>
          </cell>
          <cell r="H11">
            <v>6.8421052631578952E-2</v>
          </cell>
          <cell r="I11">
            <v>0.30769230769230771</v>
          </cell>
        </row>
        <row r="12">
          <cell r="E12">
            <v>70</v>
          </cell>
          <cell r="F12">
            <v>22</v>
          </cell>
          <cell r="H12">
            <v>7.0000000000000007E-2</v>
          </cell>
          <cell r="I12">
            <v>0.31428571428571428</v>
          </cell>
        </row>
        <row r="13">
          <cell r="E13">
            <v>80</v>
          </cell>
          <cell r="F13">
            <v>25</v>
          </cell>
          <cell r="H13">
            <v>7.2727272727272724E-2</v>
          </cell>
          <cell r="I13">
            <v>0.3125</v>
          </cell>
        </row>
        <row r="14">
          <cell r="E14">
            <v>155</v>
          </cell>
          <cell r="F14">
            <v>22</v>
          </cell>
          <cell r="H14">
            <v>9.6875000000000003E-2</v>
          </cell>
          <cell r="I14">
            <v>0.14193548387096774</v>
          </cell>
        </row>
        <row r="15">
          <cell r="E15">
            <v>165</v>
          </cell>
          <cell r="F15">
            <v>24</v>
          </cell>
          <cell r="H15">
            <v>9.7058823529411767E-2</v>
          </cell>
          <cell r="I15">
            <v>0.14545454545454545</v>
          </cell>
        </row>
        <row r="16">
          <cell r="E16">
            <v>175</v>
          </cell>
          <cell r="F16">
            <v>26</v>
          </cell>
          <cell r="H16">
            <v>9.7222222222222224E-2</v>
          </cell>
          <cell r="I16">
            <v>0.14857142857142858</v>
          </cell>
        </row>
        <row r="17">
          <cell r="E17">
            <v>185</v>
          </cell>
          <cell r="F17">
            <v>28</v>
          </cell>
          <cell r="H17">
            <v>9.7368421052631576E-2</v>
          </cell>
          <cell r="I17">
            <v>0.15135135135135136</v>
          </cell>
        </row>
        <row r="18">
          <cell r="E18">
            <v>125</v>
          </cell>
          <cell r="F18">
            <v>14</v>
          </cell>
          <cell r="H18">
            <v>7.575757575757576E-2</v>
          </cell>
          <cell r="I18">
            <v>0.112</v>
          </cell>
        </row>
        <row r="19">
          <cell r="E19">
            <v>130</v>
          </cell>
          <cell r="F19">
            <v>16</v>
          </cell>
          <cell r="H19">
            <v>7.6470588235294124E-2</v>
          </cell>
          <cell r="I19">
            <v>0.12307692307692308</v>
          </cell>
        </row>
        <row r="20">
          <cell r="E20">
            <v>135</v>
          </cell>
          <cell r="F20">
            <v>17</v>
          </cell>
          <cell r="H20">
            <v>7.7142857142857138E-2</v>
          </cell>
          <cell r="I20">
            <v>0.12592592592592591</v>
          </cell>
        </row>
        <row r="21">
          <cell r="E21">
            <v>140</v>
          </cell>
          <cell r="F21">
            <v>18</v>
          </cell>
          <cell r="H21">
            <v>7.7777777777777779E-2</v>
          </cell>
          <cell r="I21">
            <v>0.12857142857142856</v>
          </cell>
        </row>
        <row r="22">
          <cell r="E22">
            <v>85</v>
          </cell>
          <cell r="F22">
            <v>26</v>
          </cell>
          <cell r="H22">
            <v>7.3913043478260873E-2</v>
          </cell>
          <cell r="I22">
            <v>0.30588235294117649</v>
          </cell>
        </row>
        <row r="23">
          <cell r="E23">
            <v>90</v>
          </cell>
          <cell r="F23">
            <v>28</v>
          </cell>
          <cell r="H23">
            <v>7.4999999999999997E-2</v>
          </cell>
          <cell r="I23">
            <v>0.31111111111111112</v>
          </cell>
        </row>
        <row r="24">
          <cell r="E24">
            <v>95</v>
          </cell>
          <cell r="F24">
            <v>30</v>
          </cell>
          <cell r="H24">
            <v>7.5999999999999998E-2</v>
          </cell>
          <cell r="I24">
            <v>0.31578947368421051</v>
          </cell>
        </row>
        <row r="25">
          <cell r="E25">
            <v>100</v>
          </cell>
          <cell r="F25">
            <v>32</v>
          </cell>
          <cell r="H25">
            <v>7.6923076923076927E-2</v>
          </cell>
          <cell r="I25">
            <v>0.32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51A6-5BB9-468D-A533-576BE4EECDBF}">
  <dimension ref="A1:F5"/>
  <sheetViews>
    <sheetView tabSelected="1" topLeftCell="A4" workbookViewId="0">
      <selection activeCell="H5" sqref="H5"/>
    </sheetView>
  </sheetViews>
  <sheetFormatPr defaultRowHeight="14.5" x14ac:dyDescent="0.35"/>
  <cols>
    <col min="1" max="1" width="11.7265625" bestFit="1" customWidth="1"/>
    <col min="2" max="2" width="4.81640625" bestFit="1" customWidth="1"/>
    <col min="4" max="4" width="13.81640625" bestFit="1" customWidth="1"/>
    <col min="5" max="5" width="6.90625" bestFit="1" customWidth="1"/>
  </cols>
  <sheetData>
    <row r="1" spans="1:6" ht="26" x14ac:dyDescent="0.6">
      <c r="A1" s="1" t="s">
        <v>0</v>
      </c>
      <c r="B1" s="1"/>
      <c r="C1" s="1"/>
      <c r="D1" s="1"/>
      <c r="E1" s="1"/>
      <c r="F1" s="1"/>
    </row>
    <row r="3" spans="1:6" x14ac:dyDescent="0.35">
      <c r="A3" s="2" t="s">
        <v>1</v>
      </c>
      <c r="B3" s="3">
        <f>SUM([1]raw_data!E:E)</f>
        <v>2861</v>
      </c>
      <c r="D3" s="2" t="s">
        <v>2</v>
      </c>
      <c r="E3" s="4">
        <f>AVERAGE([1]raw_data!H:H)</f>
        <v>8.0475543550972986E-2</v>
      </c>
    </row>
    <row r="5" spans="1:6" x14ac:dyDescent="0.35">
      <c r="A5" s="2" t="s">
        <v>3</v>
      </c>
      <c r="B5" s="3">
        <f>SUM([1]raw_data!F:F)</f>
        <v>482</v>
      </c>
      <c r="D5" s="2" t="s">
        <v>4</v>
      </c>
      <c r="E5" s="4">
        <f>AVERAGE([1]raw_data!I:I)</f>
        <v>0.1872613749255736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宙意 大谷</dc:creator>
  <cp:lastModifiedBy>宙意 大谷</cp:lastModifiedBy>
  <dcterms:created xsi:type="dcterms:W3CDTF">2026-01-22T21:02:50Z</dcterms:created>
  <dcterms:modified xsi:type="dcterms:W3CDTF">2026-01-22T21:03:36Z</dcterms:modified>
</cp:coreProperties>
</file>